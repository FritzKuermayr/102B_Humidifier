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<sst xmlns="http://schemas.openxmlformats.org/spreadsheetml/2006/main" count="45" uniqueCount="33">
  <si>
    <t>Final Decision Matrix</t>
  </si>
  <si>
    <t>Scale:</t>
  </si>
  <si>
    <t>Cost</t>
  </si>
  <si>
    <t>Cheapest</t>
  </si>
  <si>
    <t>Expensive</t>
  </si>
  <si>
    <t>Feasibilty</t>
  </si>
  <si>
    <t>Simple to build</t>
  </si>
  <si>
    <t>Hard to build</t>
  </si>
  <si>
    <t>Team enthusiasm</t>
  </si>
  <si>
    <t>High</t>
  </si>
  <si>
    <t>Low</t>
  </si>
  <si>
    <t>Aligned with Opportunity</t>
  </si>
  <si>
    <t>Affirmative</t>
  </si>
  <si>
    <t>Not at all</t>
  </si>
  <si>
    <t>Ease of use</t>
  </si>
  <si>
    <t>Anyone can adopt</t>
  </si>
  <si>
    <t>Elaborate instructions</t>
  </si>
  <si>
    <t>Weight:</t>
  </si>
  <si>
    <t>Grader</t>
  </si>
  <si>
    <t>Concept</t>
  </si>
  <si>
    <t>Feasibility</t>
  </si>
  <si>
    <t>Team Enthusiasm</t>
  </si>
  <si>
    <t>Aligned with Opp</t>
  </si>
  <si>
    <t>Total</t>
  </si>
  <si>
    <t>Team Average</t>
  </si>
  <si>
    <t>Aman</t>
  </si>
  <si>
    <t>Greenhouse Robot</t>
  </si>
  <si>
    <t>Bader</t>
  </si>
  <si>
    <t>Arunima</t>
  </si>
  <si>
    <t>Fritz</t>
  </si>
  <si>
    <t>Leon</t>
  </si>
  <si>
    <t>Greenhouse Drone</t>
  </si>
  <si>
    <t>Swinging Humidifier Pendulum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</si>
</sst>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theme="1"/>
      <name val="Arial"/>
    </font>
    <font>
      <color theme="1"/>
      <name val="Arial"/>
    </font>
    <font/>
    <font>
      <color theme="1"/>
      <name val="Arial"/>
      <scheme val="minor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EFEFEF"/>
        <bgColor rgb="FFEFEFEF"/>
      </patternFill>
    </fill>
  </fills>
  <borders count="7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right" vertical="bottom"/>
    </xf>
    <xf borderId="3" fillId="0" fontId="2" numFmtId="0" xfId="0" applyAlignment="1" applyBorder="1" applyFont="1">
      <alignment horizontal="right" vertical="bottom"/>
    </xf>
    <xf borderId="4" fillId="0" fontId="3" numFmtId="0" xfId="0" applyBorder="1" applyFont="1"/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readingOrder="0" shrinkToFit="0" vertical="bottom" wrapText="1"/>
    </xf>
    <xf borderId="3" fillId="0" fontId="2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4" numFmtId="0" xfId="0" applyAlignment="1" applyFont="1">
      <alignment readingOrder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2" fontId="5" numFmtId="0" xfId="0" applyAlignment="1" applyFill="1" applyFont="1">
      <alignment horizontal="center" readingOrder="0"/>
    </xf>
    <xf borderId="0" fillId="0" fontId="4" numFmtId="0" xfId="0" applyFont="1"/>
    <xf borderId="6" fillId="3" fontId="5" numFmtId="0" xfId="0" applyAlignment="1" applyBorder="1" applyFill="1" applyFont="1">
      <alignment horizontal="center" readingOrder="0"/>
    </xf>
    <xf borderId="6" fillId="4" fontId="2" numFmtId="0" xfId="0" applyAlignment="1" applyBorder="1" applyFill="1" applyFont="1">
      <alignment horizontal="right" readingOrder="0" vertical="bottom"/>
    </xf>
    <xf borderId="0" fillId="4" fontId="2" numFmtId="0" xfId="0" applyAlignment="1" applyFont="1">
      <alignment horizontal="right" readingOrder="0" vertical="bottom"/>
    </xf>
    <xf borderId="0" fillId="3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0.88"/>
    <col customWidth="1" min="4" max="4" width="18.0"/>
    <col customWidth="1" min="5" max="5" width="16.5"/>
    <col customWidth="1" min="6" max="6" width="15.88"/>
    <col customWidth="1" min="7" max="7" width="16.25"/>
  </cols>
  <sheetData>
    <row r="1">
      <c r="A1" s="1" t="s">
        <v>0</v>
      </c>
      <c r="B1" s="2"/>
      <c r="C1" s="2"/>
      <c r="D1" s="2"/>
    </row>
    <row r="2">
      <c r="A2" s="3" t="s">
        <v>1</v>
      </c>
      <c r="B2" s="4">
        <v>5.0</v>
      </c>
      <c r="C2" s="5">
        <v>1.0</v>
      </c>
      <c r="D2" s="6"/>
    </row>
    <row r="3">
      <c r="A3" s="3" t="s">
        <v>2</v>
      </c>
      <c r="B3" s="7" t="s">
        <v>3</v>
      </c>
      <c r="C3" s="8" t="s">
        <v>4</v>
      </c>
      <c r="D3" s="6"/>
    </row>
    <row r="4">
      <c r="A4" s="9" t="s">
        <v>5</v>
      </c>
      <c r="B4" s="7" t="s">
        <v>6</v>
      </c>
      <c r="C4" s="8" t="s">
        <v>7</v>
      </c>
      <c r="D4" s="6"/>
    </row>
    <row r="5">
      <c r="A5" s="9" t="s">
        <v>8</v>
      </c>
      <c r="B5" s="10" t="s">
        <v>9</v>
      </c>
      <c r="C5" s="11" t="s">
        <v>10</v>
      </c>
      <c r="D5" s="6"/>
    </row>
    <row r="6">
      <c r="A6" s="12" t="s">
        <v>11</v>
      </c>
      <c r="B6" s="12" t="s">
        <v>12</v>
      </c>
      <c r="C6" s="13" t="s">
        <v>13</v>
      </c>
      <c r="D6" s="6"/>
    </row>
    <row r="7">
      <c r="A7" s="3" t="s">
        <v>14</v>
      </c>
      <c r="B7" s="7" t="s">
        <v>15</v>
      </c>
      <c r="C7" s="8" t="s">
        <v>16</v>
      </c>
      <c r="D7" s="6"/>
    </row>
    <row r="10">
      <c r="A10" s="2"/>
      <c r="B10" s="14" t="s">
        <v>17</v>
      </c>
      <c r="C10" s="15">
        <v>0.2</v>
      </c>
      <c r="D10" s="15">
        <v>0.1</v>
      </c>
      <c r="E10" s="15">
        <v>0.2</v>
      </c>
      <c r="F10" s="15">
        <v>0.3</v>
      </c>
      <c r="G10" s="16">
        <v>0.2</v>
      </c>
      <c r="H10" s="16">
        <v>1.0</v>
      </c>
    </row>
    <row r="11">
      <c r="A11" s="17" t="s">
        <v>18</v>
      </c>
      <c r="B11" s="17" t="s">
        <v>19</v>
      </c>
      <c r="C11" s="17" t="s">
        <v>2</v>
      </c>
      <c r="D11" s="18" t="s">
        <v>20</v>
      </c>
      <c r="E11" s="18" t="s">
        <v>21</v>
      </c>
      <c r="F11" s="18" t="s">
        <v>22</v>
      </c>
      <c r="G11" s="18" t="s">
        <v>14</v>
      </c>
      <c r="H11" s="18" t="s">
        <v>23</v>
      </c>
      <c r="I11" s="18" t="s">
        <v>24</v>
      </c>
    </row>
    <row r="12">
      <c r="A12" s="19" t="s">
        <v>25</v>
      </c>
      <c r="B12" s="20" t="s">
        <v>26</v>
      </c>
      <c r="C12" s="15">
        <v>5.0</v>
      </c>
      <c r="D12" s="15">
        <v>5.0</v>
      </c>
      <c r="E12" s="15">
        <v>5.0</v>
      </c>
      <c r="F12" s="15">
        <v>5.0</v>
      </c>
      <c r="G12" s="16">
        <v>5.0</v>
      </c>
      <c r="H12" s="16">
        <f t="shared" ref="H12:H19" si="1">$C$10*C12 + $D$10*D12+$E$10*E12+$F$10*F12+$G$10*G12</f>
        <v>5</v>
      </c>
      <c r="I12" s="21">
        <f>AVERAGE(H12:H16)</f>
        <v>4.8</v>
      </c>
    </row>
    <row r="13">
      <c r="A13" s="19" t="s">
        <v>27</v>
      </c>
      <c r="C13" s="15">
        <v>5.0</v>
      </c>
      <c r="D13" s="15">
        <v>5.0</v>
      </c>
      <c r="E13" s="15">
        <v>5.0</v>
      </c>
      <c r="F13" s="15">
        <v>5.0</v>
      </c>
      <c r="G13" s="16">
        <v>5.0</v>
      </c>
      <c r="H13" s="21">
        <f t="shared" si="1"/>
        <v>5</v>
      </c>
    </row>
    <row r="14">
      <c r="A14" s="19" t="s">
        <v>28</v>
      </c>
      <c r="C14" s="15">
        <v>4.0</v>
      </c>
      <c r="D14" s="15">
        <v>4.0</v>
      </c>
      <c r="E14" s="15">
        <v>4.0</v>
      </c>
      <c r="F14" s="15">
        <v>4.0</v>
      </c>
      <c r="G14" s="16">
        <v>4.0</v>
      </c>
      <c r="H14" s="21">
        <f t="shared" si="1"/>
        <v>4</v>
      </c>
    </row>
    <row r="15">
      <c r="A15" s="19" t="s">
        <v>29</v>
      </c>
      <c r="C15" s="15">
        <v>5.0</v>
      </c>
      <c r="D15" s="15">
        <v>5.0</v>
      </c>
      <c r="E15" s="15">
        <v>5.0</v>
      </c>
      <c r="F15" s="15">
        <v>5.0</v>
      </c>
      <c r="G15" s="16">
        <v>5.0</v>
      </c>
      <c r="H15" s="21">
        <f t="shared" si="1"/>
        <v>5</v>
      </c>
    </row>
    <row r="16">
      <c r="A16" s="19" t="s">
        <v>30</v>
      </c>
      <c r="C16" s="15">
        <v>5.0</v>
      </c>
      <c r="D16" s="15">
        <v>5.0</v>
      </c>
      <c r="E16" s="15">
        <v>5.0</v>
      </c>
      <c r="F16" s="15">
        <v>5.0</v>
      </c>
      <c r="G16" s="16">
        <v>5.0</v>
      </c>
      <c r="H16" s="21">
        <f t="shared" si="1"/>
        <v>5</v>
      </c>
    </row>
    <row r="17">
      <c r="A17" s="19" t="s">
        <v>25</v>
      </c>
      <c r="B17" s="22" t="s">
        <v>31</v>
      </c>
      <c r="C17" s="23">
        <v>1.0</v>
      </c>
      <c r="D17" s="23">
        <v>1.0</v>
      </c>
      <c r="E17" s="23">
        <v>5.0</v>
      </c>
      <c r="F17" s="23">
        <v>2.0</v>
      </c>
      <c r="G17" s="16">
        <v>1.0</v>
      </c>
      <c r="H17" s="21">
        <f t="shared" si="1"/>
        <v>2.1</v>
      </c>
      <c r="I17" s="21">
        <f>AVERAGE(H17:H21)</f>
        <v>2.14</v>
      </c>
    </row>
    <row r="18">
      <c r="A18" s="19" t="s">
        <v>27</v>
      </c>
      <c r="C18" s="24">
        <v>1.0</v>
      </c>
      <c r="D18" s="24">
        <v>2.0</v>
      </c>
      <c r="E18" s="24">
        <v>5.0</v>
      </c>
      <c r="F18" s="24">
        <v>3.0</v>
      </c>
      <c r="G18" s="16">
        <v>1.0</v>
      </c>
      <c r="H18" s="21">
        <f t="shared" si="1"/>
        <v>2.5</v>
      </c>
    </row>
    <row r="19">
      <c r="A19" s="19" t="s">
        <v>28</v>
      </c>
      <c r="C19" s="24">
        <v>3.0</v>
      </c>
      <c r="D19" s="24">
        <v>2.0</v>
      </c>
      <c r="E19" s="24">
        <v>1.0</v>
      </c>
      <c r="F19" s="24">
        <v>3.0</v>
      </c>
      <c r="G19" s="16">
        <v>2.0</v>
      </c>
      <c r="H19" s="21">
        <f t="shared" si="1"/>
        <v>2.3</v>
      </c>
    </row>
    <row r="20">
      <c r="A20" s="19" t="s">
        <v>29</v>
      </c>
      <c r="C20" s="24">
        <v>1.0</v>
      </c>
      <c r="D20" s="24">
        <v>3.0</v>
      </c>
      <c r="E20" s="24">
        <v>3.0</v>
      </c>
      <c r="F20" s="24">
        <v>1.0</v>
      </c>
      <c r="G20" s="16">
        <v>1.0</v>
      </c>
      <c r="H20" s="21">
        <f>$C$10*C12 + $D$10*D20+$E$10*E20+$F$10*F20+$G$10*G20</f>
        <v>2.4</v>
      </c>
    </row>
    <row r="21">
      <c r="A21" s="19" t="s">
        <v>30</v>
      </c>
      <c r="C21" s="24">
        <v>1.0</v>
      </c>
      <c r="D21" s="24">
        <v>1.0</v>
      </c>
      <c r="E21" s="24">
        <v>3.0</v>
      </c>
      <c r="F21" s="24">
        <v>1.0</v>
      </c>
      <c r="G21" s="16">
        <v>1.0</v>
      </c>
      <c r="H21" s="21">
        <f t="shared" ref="H21:H26" si="2">$C$10*C21 + $D$10*D21+$E$10*E21+$F$10*F21+$G$10*G21</f>
        <v>1.4</v>
      </c>
    </row>
    <row r="22">
      <c r="A22" s="19" t="s">
        <v>25</v>
      </c>
      <c r="B22" s="25" t="s">
        <v>32</v>
      </c>
      <c r="C22" s="16">
        <v>3.0</v>
      </c>
      <c r="D22" s="16">
        <v>5.0</v>
      </c>
      <c r="E22" s="16">
        <v>1.0</v>
      </c>
      <c r="F22" s="16">
        <v>4.0</v>
      </c>
      <c r="G22" s="16">
        <v>1.0</v>
      </c>
      <c r="H22" s="21">
        <f t="shared" si="2"/>
        <v>2.7</v>
      </c>
      <c r="I22" s="21">
        <f>AVERAGE(H22:H26)</f>
        <v>2.74</v>
      </c>
    </row>
    <row r="23">
      <c r="A23" s="19" t="s">
        <v>27</v>
      </c>
      <c r="C23" s="16">
        <v>3.0</v>
      </c>
      <c r="D23" s="16">
        <v>5.0</v>
      </c>
      <c r="E23" s="16">
        <v>2.0</v>
      </c>
      <c r="F23" s="16">
        <v>4.0</v>
      </c>
      <c r="G23" s="16">
        <v>1.0</v>
      </c>
      <c r="H23" s="21">
        <f t="shared" si="2"/>
        <v>2.9</v>
      </c>
    </row>
    <row r="24">
      <c r="A24" s="19" t="s">
        <v>28</v>
      </c>
      <c r="C24" s="16">
        <v>3.0</v>
      </c>
      <c r="D24" s="16">
        <v>1.0</v>
      </c>
      <c r="E24" s="16">
        <v>2.0</v>
      </c>
      <c r="F24" s="16">
        <v>2.0</v>
      </c>
      <c r="G24" s="16">
        <v>2.0</v>
      </c>
      <c r="H24" s="21">
        <f t="shared" si="2"/>
        <v>2.1</v>
      </c>
    </row>
    <row r="25">
      <c r="A25" s="19" t="s">
        <v>29</v>
      </c>
      <c r="C25" s="16">
        <v>3.0</v>
      </c>
      <c r="D25" s="16">
        <v>5.0</v>
      </c>
      <c r="E25" s="16">
        <v>3.0</v>
      </c>
      <c r="F25" s="16">
        <v>4.0</v>
      </c>
      <c r="G25" s="16">
        <v>1.0</v>
      </c>
      <c r="H25" s="21">
        <f t="shared" si="2"/>
        <v>3.1</v>
      </c>
    </row>
    <row r="26">
      <c r="A26" s="19" t="s">
        <v>30</v>
      </c>
      <c r="C26" s="16">
        <v>3.0</v>
      </c>
      <c r="D26" s="16">
        <v>5.0</v>
      </c>
      <c r="E26" s="16">
        <v>2.0</v>
      </c>
      <c r="F26" s="16">
        <v>4.0</v>
      </c>
      <c r="G26" s="16">
        <v>1.0</v>
      </c>
      <c r="H26" s="21">
        <f t="shared" si="2"/>
        <v>2.9</v>
      </c>
    </row>
  </sheetData>
  <mergeCells count="9">
    <mergeCell ref="B17:B21"/>
    <mergeCell ref="B22:B26"/>
    <mergeCell ref="C2:D2"/>
    <mergeCell ref="C3:D3"/>
    <mergeCell ref="C4:D4"/>
    <mergeCell ref="C5:D5"/>
    <mergeCell ref="C6:D6"/>
    <mergeCell ref="C7:D7"/>
    <mergeCell ref="B12:B16"/>
  </mergeCells>
  <drawing r:id="rId1"/>
</worksheet>
</file>